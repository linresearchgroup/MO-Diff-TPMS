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tudy\University of Missouri\project2a\code\data\"/>
    </mc:Choice>
  </mc:AlternateContent>
  <xr:revisionPtr revIDLastSave="0" documentId="13_ncr:1_{425D5E5E-4C55-4BA4-A670-DC14F0F89271}" xr6:coauthVersionLast="47" xr6:coauthVersionMax="47" xr10:uidLastSave="{00000000-0000-0000-0000-000000000000}"/>
  <bookViews>
    <workbookView xWindow="732" yWindow="1800" windowWidth="22992" windowHeight="128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1" l="1"/>
  <c r="O35" i="1"/>
  <c r="N35" i="1"/>
  <c r="M3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2" i="1"/>
  <c r="O2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9" i="1"/>
  <c r="O30" i="1"/>
  <c r="O31" i="1"/>
  <c r="O32" i="1"/>
  <c r="O33" i="1"/>
  <c r="O34" i="1"/>
  <c r="O2" i="1"/>
  <c r="N3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2" i="1"/>
</calcChain>
</file>

<file path=xl/sharedStrings.xml><?xml version="1.0" encoding="utf-8"?>
<sst xmlns="http://schemas.openxmlformats.org/spreadsheetml/2006/main" count="16" uniqueCount="16">
  <si>
    <t>Ep1</t>
  </si>
  <si>
    <t>Ep2</t>
  </si>
  <si>
    <t>Ep3</t>
  </si>
  <si>
    <t>Epp1</t>
  </si>
  <si>
    <t>Epp2</t>
  </si>
  <si>
    <t>Epp3</t>
  </si>
  <si>
    <t>t1</t>
  </si>
  <si>
    <t>t2</t>
  </si>
  <si>
    <t>EpH</t>
  </si>
  <si>
    <t>EppH</t>
  </si>
  <si>
    <t>EpH_calc</t>
  </si>
  <si>
    <t>EppH_calc</t>
  </si>
  <si>
    <t>EpH_relative_error</t>
  </si>
  <si>
    <t>EppH_relative_error</t>
  </si>
  <si>
    <t>EpH_error</t>
  </si>
  <si>
    <t>EppH_error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</si>
</sst>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A4" workbookViewId="0">
      <selection activeCell="I35" sqref="I35:J35"/>
    </sheetView>
  </sheetViews>
  <sheetFormatPr defaultRowHeight="14.4" x14ac:dyDescent="0.3"/>
  <cols>
    <col min="1" max="6" width="12.5546875" bestFit="1" customWidth="1"/>
    <col min="7" max="8" width="13.33203125" bestFit="1" customWidth="1"/>
    <col min="9" max="13" width="12.5546875" bestFit="1" customWidth="1"/>
    <col min="14" max="14" width="13.6640625" bestFit="1" customWidth="1"/>
    <col min="15" max="16" width="12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5.6686686589999997</v>
      </c>
      <c r="B2" s="1">
        <v>2.856725231</v>
      </c>
      <c r="C2" s="1">
        <v>1.162870909</v>
      </c>
      <c r="D2" s="1">
        <v>0.90928272399999999</v>
      </c>
      <c r="E2" s="1">
        <v>2.0520958359999999</v>
      </c>
      <c r="F2" s="1">
        <v>0.57595083199999997</v>
      </c>
      <c r="G2" s="1">
        <v>-1.98773</v>
      </c>
      <c r="H2" s="1">
        <v>1.9203300000000001</v>
      </c>
      <c r="I2" s="1">
        <v>2.8723900000000002</v>
      </c>
      <c r="J2" s="1">
        <v>1.9055800000000001</v>
      </c>
      <c r="K2" s="1">
        <v>2.8556372269999999</v>
      </c>
      <c r="L2" s="1">
        <v>1.8942584469999999</v>
      </c>
      <c r="M2" s="1">
        <f>ABS(I2-K2)/K2*100</f>
        <v>0.58665620554330766</v>
      </c>
      <c r="N2" s="1">
        <f>ABS(J2-L2)/L2*100</f>
        <v>0.59767731367018428</v>
      </c>
      <c r="O2" s="1">
        <f>ABS(I2-K2)</f>
        <v>1.6752773000000332E-2</v>
      </c>
      <c r="P2" s="1">
        <f>ABS(J2-L2)</f>
        <v>1.1321553000000151E-2</v>
      </c>
    </row>
    <row r="3" spans="1:16" x14ac:dyDescent="0.3">
      <c r="A3" s="1">
        <v>5.6686686589999997</v>
      </c>
      <c r="B3" s="1">
        <v>2.856725231</v>
      </c>
      <c r="C3" s="1">
        <v>1.162870909</v>
      </c>
      <c r="D3" s="1">
        <v>0.90928272399999999</v>
      </c>
      <c r="E3" s="1">
        <v>2.0520958359999999</v>
      </c>
      <c r="F3" s="1">
        <v>0.57595083199999997</v>
      </c>
      <c r="G3" s="1">
        <v>1.11541</v>
      </c>
      <c r="H3" s="1">
        <v>2.5629200000000001</v>
      </c>
      <c r="I3" s="1">
        <v>4.9923099999999998</v>
      </c>
      <c r="J3" s="1">
        <v>1.19587</v>
      </c>
      <c r="K3" s="1">
        <v>5.0400140799999997</v>
      </c>
      <c r="L3" s="1">
        <v>1.1872882389999999</v>
      </c>
      <c r="M3" s="1">
        <f>ABS(I3-K3)/K3*100</f>
        <v>0.94650687959982704</v>
      </c>
      <c r="N3" s="1">
        <f t="shared" ref="N3:N33" si="0">ABS(J3-L3)/L3*100</f>
        <v>0.72280350449930442</v>
      </c>
      <c r="O3" s="1">
        <f t="shared" ref="O3:O35" si="1">ABS(I3-K3)</f>
        <v>4.7704079999999927E-2</v>
      </c>
      <c r="P3" s="1">
        <f t="shared" ref="P3:P35" si="2">ABS(J3-L3)</f>
        <v>8.5817610000000766E-3</v>
      </c>
    </row>
    <row r="4" spans="1:16" x14ac:dyDescent="0.3">
      <c r="A4" s="1">
        <v>5.6686686589999997</v>
      </c>
      <c r="B4" s="1">
        <v>2.856725231</v>
      </c>
      <c r="C4" s="1">
        <v>1.162870909</v>
      </c>
      <c r="D4" s="1">
        <v>0.90928272399999999</v>
      </c>
      <c r="E4" s="1">
        <v>2.0520958359999999</v>
      </c>
      <c r="F4" s="1">
        <v>0.57595083199999997</v>
      </c>
      <c r="G4" s="1">
        <v>-1.9733000000000001</v>
      </c>
      <c r="H4" s="1">
        <v>2.488</v>
      </c>
      <c r="I4" s="1">
        <v>2.9678</v>
      </c>
      <c r="J4" s="1">
        <v>1.9948999999999999</v>
      </c>
      <c r="K4" s="1">
        <v>2.9582022139999999</v>
      </c>
      <c r="L4" s="1">
        <v>1.9893237420000001</v>
      </c>
      <c r="M4" s="1">
        <f t="shared" ref="M4:M35" si="3">ABS(I4-K4)/K4*100</f>
        <v>0.32444658294749196</v>
      </c>
      <c r="N4" s="1">
        <f t="shared" si="0"/>
        <v>0.28030922681260767</v>
      </c>
      <c r="O4" s="1">
        <f t="shared" si="1"/>
        <v>9.5977860000000526E-3</v>
      </c>
      <c r="P4" s="1">
        <f t="shared" si="2"/>
        <v>5.5762579999998341E-3</v>
      </c>
    </row>
    <row r="5" spans="1:16" x14ac:dyDescent="0.3">
      <c r="A5" s="1">
        <v>5.6686686589999997</v>
      </c>
      <c r="B5" s="1">
        <v>2.856725231</v>
      </c>
      <c r="C5" s="1">
        <v>1.162870909</v>
      </c>
      <c r="D5" s="1">
        <v>0.90928272399999999</v>
      </c>
      <c r="E5" s="1">
        <v>2.0520958359999999</v>
      </c>
      <c r="F5" s="1">
        <v>0.57595083199999997</v>
      </c>
      <c r="G5" s="1">
        <v>-0.13170000000000001</v>
      </c>
      <c r="H5" s="1">
        <v>2.1236000000000002</v>
      </c>
      <c r="I5" s="1">
        <v>4.0030000000000001</v>
      </c>
      <c r="J5" s="1">
        <v>1.5904400000000001</v>
      </c>
      <c r="K5" s="1">
        <v>3.970369883</v>
      </c>
      <c r="L5" s="1">
        <v>1.5834446310000001</v>
      </c>
      <c r="M5" s="1">
        <f t="shared" si="3"/>
        <v>0.82184073427800752</v>
      </c>
      <c r="N5" s="1">
        <f t="shared" si="0"/>
        <v>0.44178172466833621</v>
      </c>
      <c r="O5" s="1">
        <f t="shared" si="1"/>
        <v>3.263011700000007E-2</v>
      </c>
      <c r="P5" s="1">
        <f t="shared" si="2"/>
        <v>6.9953689999999735E-3</v>
      </c>
    </row>
    <row r="6" spans="1:16" x14ac:dyDescent="0.3">
      <c r="A6" s="1">
        <v>2.3471857479999998</v>
      </c>
      <c r="B6" s="1">
        <v>1.0977083240000001</v>
      </c>
      <c r="C6" s="1">
        <v>1.011874436</v>
      </c>
      <c r="D6" s="1">
        <v>1.8574373310000001</v>
      </c>
      <c r="E6" s="1">
        <v>0.40139697299999999</v>
      </c>
      <c r="F6" s="1">
        <v>6.8814513999999993E-2</v>
      </c>
      <c r="G6" s="1">
        <v>-7.4099999999999999E-2</v>
      </c>
      <c r="H6" s="1">
        <v>0.21337999999999999</v>
      </c>
      <c r="I6" s="1">
        <v>1.62809</v>
      </c>
      <c r="J6" s="1">
        <v>0.74536000000000002</v>
      </c>
      <c r="K6" s="1">
        <v>1.608089423</v>
      </c>
      <c r="L6" s="1">
        <v>0.74241497700000003</v>
      </c>
      <c r="M6" s="1">
        <f t="shared" si="3"/>
        <v>1.2437478111563962</v>
      </c>
      <c r="N6" s="1">
        <f t="shared" si="0"/>
        <v>0.39668151791609008</v>
      </c>
      <c r="O6" s="1">
        <f t="shared" si="1"/>
        <v>2.0000577000000019E-2</v>
      </c>
      <c r="P6" s="1">
        <f t="shared" si="2"/>
        <v>2.9450229999999911E-3</v>
      </c>
    </row>
    <row r="7" spans="1:16" x14ac:dyDescent="0.3">
      <c r="A7" s="1">
        <v>2.3471857479999998</v>
      </c>
      <c r="B7" s="1">
        <v>1.0977083240000001</v>
      </c>
      <c r="C7" s="1">
        <v>1.011874436</v>
      </c>
      <c r="D7" s="1">
        <v>1.8574373310000001</v>
      </c>
      <c r="E7" s="1">
        <v>0.40139697299999999</v>
      </c>
      <c r="F7" s="1">
        <v>6.8814513999999993E-2</v>
      </c>
      <c r="G7" s="1">
        <v>2.622E-2</v>
      </c>
      <c r="H7" s="1">
        <v>2.4825499999999998</v>
      </c>
      <c r="I7" s="1">
        <v>1.66645</v>
      </c>
      <c r="J7" s="1">
        <v>0.99189000000000005</v>
      </c>
      <c r="K7" s="1">
        <v>1.666866314</v>
      </c>
      <c r="L7" s="1">
        <v>0.989187602</v>
      </c>
      <c r="M7" s="1">
        <f t="shared" si="3"/>
        <v>2.4975848183105897E-2</v>
      </c>
      <c r="N7" s="1">
        <f t="shared" si="0"/>
        <v>0.27319367878612477</v>
      </c>
      <c r="O7" s="1">
        <f t="shared" si="1"/>
        <v>4.1631399999997321E-4</v>
      </c>
      <c r="P7" s="1">
        <f t="shared" si="2"/>
        <v>2.7023980000000503E-3</v>
      </c>
    </row>
    <row r="8" spans="1:16" x14ac:dyDescent="0.3">
      <c r="A8" s="1">
        <v>5.9548120579999999</v>
      </c>
      <c r="B8" s="1">
        <v>5.4127294900000003</v>
      </c>
      <c r="C8" s="1">
        <v>2.31626618</v>
      </c>
      <c r="D8" s="1">
        <v>0.22103400000000001</v>
      </c>
      <c r="E8" s="1">
        <v>1.261823895</v>
      </c>
      <c r="F8" s="1">
        <v>1.841349659</v>
      </c>
      <c r="G8" s="1">
        <v>-3.0567299999999999</v>
      </c>
      <c r="H8" s="1">
        <v>9.2599999999999991E-3</v>
      </c>
      <c r="I8" s="1">
        <v>3.71096</v>
      </c>
      <c r="J8" s="1">
        <v>1.6914100000000001</v>
      </c>
      <c r="K8" s="1">
        <v>3.727139282</v>
      </c>
      <c r="L8" s="1">
        <v>1.689589531</v>
      </c>
      <c r="M8" s="1">
        <f t="shared" si="3"/>
        <v>0.43409383915800659</v>
      </c>
      <c r="N8" s="1">
        <f t="shared" si="0"/>
        <v>0.1077462286903873</v>
      </c>
      <c r="O8" s="1">
        <f t="shared" si="1"/>
        <v>1.6179281999999962E-2</v>
      </c>
      <c r="P8" s="1">
        <f t="shared" si="2"/>
        <v>1.8204690000001023E-3</v>
      </c>
    </row>
    <row r="9" spans="1:16" x14ac:dyDescent="0.3">
      <c r="A9" s="1">
        <v>5.7594085990000004</v>
      </c>
      <c r="B9" s="1">
        <v>3.3270083000000001</v>
      </c>
      <c r="C9" s="1">
        <v>1.2226517830000001</v>
      </c>
      <c r="D9" s="1">
        <v>0.74502880999999999</v>
      </c>
      <c r="E9" s="1">
        <v>2.129283257</v>
      </c>
      <c r="F9" s="1">
        <v>0.70878787200000004</v>
      </c>
      <c r="G9" s="1">
        <v>-3.4251399999999999</v>
      </c>
      <c r="H9" s="1">
        <v>-4.086E-2</v>
      </c>
      <c r="I9" s="1">
        <v>2.1025100000000001</v>
      </c>
      <c r="J9" s="1">
        <v>1.28529</v>
      </c>
      <c r="K9" s="1">
        <v>2.0783992100000002</v>
      </c>
      <c r="L9" s="1">
        <v>1.276981951</v>
      </c>
      <c r="M9" s="1">
        <f t="shared" si="3"/>
        <v>1.1600653947515664</v>
      </c>
      <c r="N9" s="1">
        <f t="shared" si="0"/>
        <v>0.65060034666065847</v>
      </c>
      <c r="O9" s="1">
        <f t="shared" si="1"/>
        <v>2.4110789999999938E-2</v>
      </c>
      <c r="P9" s="1">
        <f t="shared" si="2"/>
        <v>8.3080490000000395E-3</v>
      </c>
    </row>
    <row r="10" spans="1:16" x14ac:dyDescent="0.3">
      <c r="A10" s="1">
        <v>5.9548120579999999</v>
      </c>
      <c r="B10" s="1">
        <v>5.4127294900000003</v>
      </c>
      <c r="C10" s="1">
        <v>2.31626618</v>
      </c>
      <c r="D10" s="1">
        <v>0.22103400000000001</v>
      </c>
      <c r="E10" s="1">
        <v>1.261823895</v>
      </c>
      <c r="F10" s="1">
        <v>1.841349659</v>
      </c>
      <c r="G10" s="1">
        <v>-1.99912</v>
      </c>
      <c r="H10" s="1">
        <v>-2.4455800000000001</v>
      </c>
      <c r="I10" s="1">
        <v>2.3708</v>
      </c>
      <c r="J10" s="1">
        <v>1.8529800000000001</v>
      </c>
      <c r="K10" s="1">
        <v>2.4830016700000002</v>
      </c>
      <c r="L10" s="1">
        <v>1.8324802760000001</v>
      </c>
      <c r="M10" s="1">
        <f t="shared" si="3"/>
        <v>4.5187915640830054</v>
      </c>
      <c r="N10" s="1">
        <f t="shared" si="0"/>
        <v>1.1186872933086891</v>
      </c>
      <c r="O10" s="1">
        <f t="shared" si="1"/>
        <v>0.11220167000000014</v>
      </c>
      <c r="P10" s="1">
        <f t="shared" si="2"/>
        <v>2.0499723999999997E-2</v>
      </c>
    </row>
    <row r="11" spans="1:16" x14ac:dyDescent="0.3">
      <c r="A11" s="1">
        <v>5.7594085990000004</v>
      </c>
      <c r="B11" s="1">
        <v>3.3270083000000001</v>
      </c>
      <c r="C11" s="1">
        <v>1.2226517830000001</v>
      </c>
      <c r="D11" s="1">
        <v>0.74502880999999999</v>
      </c>
      <c r="E11" s="1">
        <v>2.129283257</v>
      </c>
      <c r="F11" s="1">
        <v>0.70878787200000004</v>
      </c>
      <c r="G11" s="1">
        <v>6.88E-2</v>
      </c>
      <c r="H11" s="1">
        <v>3.1442000000000001</v>
      </c>
      <c r="I11" s="1">
        <v>4.5036300000000002</v>
      </c>
      <c r="J11" s="1">
        <v>1.5737300000000001</v>
      </c>
      <c r="K11" s="1">
        <v>4.559114975</v>
      </c>
      <c r="L11" s="1">
        <v>1.5458865770000001</v>
      </c>
      <c r="M11" s="1">
        <f t="shared" si="3"/>
        <v>1.2170119706182605</v>
      </c>
      <c r="N11" s="1">
        <f t="shared" si="0"/>
        <v>1.8011297474381252</v>
      </c>
      <c r="O11" s="1">
        <f t="shared" si="1"/>
        <v>5.5484974999999714E-2</v>
      </c>
      <c r="P11" s="1">
        <f t="shared" si="2"/>
        <v>2.7843422999999978E-2</v>
      </c>
    </row>
    <row r="12" spans="1:16" x14ac:dyDescent="0.3">
      <c r="A12" s="1">
        <v>5.9942989349999998</v>
      </c>
      <c r="B12" s="1">
        <v>5.9534516330000002</v>
      </c>
      <c r="C12" s="1">
        <v>5.4767742159999999</v>
      </c>
      <c r="D12" s="1">
        <v>3.4455456000000002E-2</v>
      </c>
      <c r="E12" s="1">
        <v>0.22642236900000001</v>
      </c>
      <c r="F12" s="1">
        <v>1.1849083899999999</v>
      </c>
      <c r="G12" s="1">
        <v>-2.27176</v>
      </c>
      <c r="H12" s="1">
        <v>-1.17858</v>
      </c>
      <c r="I12" s="1">
        <v>5.5810899999999997</v>
      </c>
      <c r="J12" s="1">
        <v>1.0349600000000001</v>
      </c>
      <c r="K12" s="1">
        <v>5.5676784850000001</v>
      </c>
      <c r="L12" s="1">
        <v>1.0214042430000001</v>
      </c>
      <c r="M12" s="1">
        <f t="shared" si="3"/>
        <v>0.24088163560686635</v>
      </c>
      <c r="N12" s="1">
        <f t="shared" si="0"/>
        <v>1.3271686595098666</v>
      </c>
      <c r="O12" s="1">
        <f t="shared" si="1"/>
        <v>1.3411514999999596E-2</v>
      </c>
      <c r="P12" s="1">
        <f t="shared" si="2"/>
        <v>1.3555757000000002E-2</v>
      </c>
    </row>
    <row r="13" spans="1:16" x14ac:dyDescent="0.3">
      <c r="A13" s="1">
        <v>5.9040694240000002</v>
      </c>
      <c r="B13" s="1">
        <v>4.6761589050000003</v>
      </c>
      <c r="C13" s="1">
        <v>1.583443642</v>
      </c>
      <c r="D13" s="1">
        <v>0.396021128</v>
      </c>
      <c r="E13" s="1">
        <v>1.8453410859999999</v>
      </c>
      <c r="F13" s="1">
        <v>1.257398129</v>
      </c>
      <c r="G13" s="1">
        <v>-0.96640000000000004</v>
      </c>
      <c r="H13" s="1">
        <v>1.6199999999999999E-2</v>
      </c>
      <c r="I13" s="1">
        <v>3.0942400000000001</v>
      </c>
      <c r="J13" s="1">
        <v>1.3534999999999999</v>
      </c>
      <c r="K13" s="1">
        <v>3.1530897009999999</v>
      </c>
      <c r="L13" s="1">
        <v>1.3470965989999999</v>
      </c>
      <c r="M13" s="1">
        <f t="shared" si="3"/>
        <v>1.8664137903002131</v>
      </c>
      <c r="N13" s="1">
        <f t="shared" si="0"/>
        <v>0.47534831613067052</v>
      </c>
      <c r="O13" s="1">
        <f t="shared" si="1"/>
        <v>5.8849700999999754E-2</v>
      </c>
      <c r="P13" s="1">
        <f t="shared" si="2"/>
        <v>6.4034010000000308E-3</v>
      </c>
    </row>
    <row r="14" spans="1:16" x14ac:dyDescent="0.3">
      <c r="A14" s="1">
        <v>5.8941440580000002</v>
      </c>
      <c r="B14" s="1">
        <v>4.5483174320000002</v>
      </c>
      <c r="C14" s="1">
        <v>1.5242258310000001</v>
      </c>
      <c r="D14" s="1">
        <v>0.42553651300000001</v>
      </c>
      <c r="E14" s="1">
        <v>1.9079086780000001</v>
      </c>
      <c r="F14" s="1">
        <v>1.1861582989999999</v>
      </c>
      <c r="G14" s="1">
        <v>-1.9319299999999999</v>
      </c>
      <c r="H14" s="1">
        <v>2.7859799999999999</v>
      </c>
      <c r="I14" s="1">
        <v>4.5962500000000004</v>
      </c>
      <c r="J14" s="1">
        <v>1.8463099999999999</v>
      </c>
      <c r="K14" s="1">
        <v>4.6185433140000001</v>
      </c>
      <c r="L14" s="1">
        <v>1.8277030519999999</v>
      </c>
      <c r="M14" s="1">
        <f t="shared" si="3"/>
        <v>0.48269145668554997</v>
      </c>
      <c r="N14" s="1">
        <f t="shared" si="0"/>
        <v>1.0180509344578124</v>
      </c>
      <c r="O14" s="1">
        <f t="shared" si="1"/>
        <v>2.2293313999999675E-2</v>
      </c>
      <c r="P14" s="1">
        <f t="shared" si="2"/>
        <v>1.8606947999999957E-2</v>
      </c>
    </row>
    <row r="15" spans="1:16" x14ac:dyDescent="0.3">
      <c r="A15" s="1">
        <v>5.7835040089999996</v>
      </c>
      <c r="B15" s="1">
        <v>3.4886405470000001</v>
      </c>
      <c r="C15" s="1">
        <v>1.2474763390000001</v>
      </c>
      <c r="D15" s="1">
        <v>0.69600737099999999</v>
      </c>
      <c r="E15" s="1">
        <v>2.1351761819999999</v>
      </c>
      <c r="F15" s="1">
        <v>0.75856143200000004</v>
      </c>
      <c r="G15" s="1">
        <v>-1.93401</v>
      </c>
      <c r="H15" s="1">
        <v>2.4676999999999998</v>
      </c>
      <c r="I15" s="1">
        <v>3.5592199999999998</v>
      </c>
      <c r="J15" s="1">
        <v>2.0433400000000002</v>
      </c>
      <c r="K15" s="1">
        <v>3.5663675540000002</v>
      </c>
      <c r="L15" s="1">
        <v>2.0433642409999999</v>
      </c>
      <c r="M15" s="1">
        <f t="shared" si="3"/>
        <v>0.20041551780000105</v>
      </c>
      <c r="N15" s="1">
        <f t="shared" si="0"/>
        <v>1.1863278956029443E-3</v>
      </c>
      <c r="O15" s="1">
        <f t="shared" si="1"/>
        <v>7.1475540000003335E-3</v>
      </c>
      <c r="P15" s="1">
        <f t="shared" si="2"/>
        <v>2.4240999999758372E-5</v>
      </c>
    </row>
    <row r="16" spans="1:16" x14ac:dyDescent="0.3">
      <c r="A16" s="1">
        <v>5.9938360660000001</v>
      </c>
      <c r="B16" s="1">
        <v>5.9490095380000003</v>
      </c>
      <c r="C16" s="1">
        <v>5.4176644129999998</v>
      </c>
      <c r="D16" s="1">
        <v>3.7128806E-2</v>
      </c>
      <c r="E16" s="1">
        <v>0.24367744899999999</v>
      </c>
      <c r="F16" s="1">
        <v>1.2561128660000001</v>
      </c>
      <c r="G16" s="1">
        <v>-1.67E-2</v>
      </c>
      <c r="H16" s="1">
        <v>0.59623000000000004</v>
      </c>
      <c r="I16" s="1">
        <v>5.8075900000000003</v>
      </c>
      <c r="J16" s="1">
        <v>0.49245</v>
      </c>
      <c r="K16" s="1">
        <v>5.81083952</v>
      </c>
      <c r="L16" s="1">
        <v>0.48928419000000001</v>
      </c>
      <c r="M16" s="1">
        <f t="shared" si="3"/>
        <v>5.592169580342813E-2</v>
      </c>
      <c r="N16" s="1">
        <f t="shared" si="0"/>
        <v>0.64702887702134648</v>
      </c>
      <c r="O16" s="1">
        <f t="shared" si="1"/>
        <v>3.2495199999997837E-3</v>
      </c>
      <c r="P16" s="1">
        <f t="shared" si="2"/>
        <v>3.1658099999999911E-3</v>
      </c>
    </row>
    <row r="17" spans="1:16" x14ac:dyDescent="0.3">
      <c r="A17" s="1">
        <v>5.043441552</v>
      </c>
      <c r="B17" s="1">
        <v>1.715256823</v>
      </c>
      <c r="C17" s="1">
        <v>1.0610019040000001</v>
      </c>
      <c r="D17" s="1">
        <v>1.610172835</v>
      </c>
      <c r="E17" s="1">
        <v>1.398886243</v>
      </c>
      <c r="F17" s="1">
        <v>0.28085016000000002</v>
      </c>
      <c r="G17" s="1">
        <v>-2.6566900000000002</v>
      </c>
      <c r="H17" s="1">
        <v>-0.50743000000000005</v>
      </c>
      <c r="I17" s="1">
        <v>1.32298</v>
      </c>
      <c r="J17" s="1">
        <v>0.60294999999999999</v>
      </c>
      <c r="K17" s="1">
        <v>1.308518343</v>
      </c>
      <c r="L17" s="1">
        <v>0.59634176800000005</v>
      </c>
      <c r="M17" s="1">
        <f t="shared" si="3"/>
        <v>1.1051932957121728</v>
      </c>
      <c r="N17" s="1">
        <f t="shared" si="0"/>
        <v>1.108128317451669</v>
      </c>
      <c r="O17" s="1">
        <f t="shared" si="1"/>
        <v>1.4461657000000017E-2</v>
      </c>
      <c r="P17" s="1">
        <f t="shared" si="2"/>
        <v>6.6082319999999362E-3</v>
      </c>
    </row>
    <row r="18" spans="1:16" x14ac:dyDescent="0.3">
      <c r="A18" s="1">
        <v>2.0074999332427979</v>
      </c>
      <c r="B18" s="1">
        <v>1.0730999708175659</v>
      </c>
      <c r="C18" s="1">
        <v>1.0092999935150151</v>
      </c>
      <c r="D18" s="1">
        <v>1.648299932479858</v>
      </c>
      <c r="E18" s="1">
        <v>0.32310000061988831</v>
      </c>
      <c r="F18" s="1">
        <v>5.4999969899654388E-2</v>
      </c>
      <c r="G18" s="1">
        <v>1.47758948802948</v>
      </c>
      <c r="H18" s="1">
        <v>1.9593931436538701</v>
      </c>
      <c r="I18" s="1">
        <v>1.8965328931808469</v>
      </c>
      <c r="J18" s="1">
        <v>1.401997447013855</v>
      </c>
      <c r="K18" s="1">
        <v>1.8867490291595459</v>
      </c>
      <c r="L18" s="1">
        <v>1.40952455997467</v>
      </c>
      <c r="M18" s="1">
        <f t="shared" si="3"/>
        <v>0.51855672747632364</v>
      </c>
      <c r="N18" s="1">
        <f t="shared" si="0"/>
        <v>0.53401786492817505</v>
      </c>
      <c r="O18" s="1">
        <f t="shared" si="1"/>
        <v>9.7838640213010475E-3</v>
      </c>
      <c r="P18" s="1">
        <f t="shared" si="2"/>
        <v>7.5271129608149856E-3</v>
      </c>
    </row>
    <row r="19" spans="1:16" x14ac:dyDescent="0.3">
      <c r="A19" s="1">
        <v>3.2190999984741211</v>
      </c>
      <c r="B19" s="1">
        <v>1.1791001558303831</v>
      </c>
      <c r="C19" s="1">
        <v>1.019399881362915</v>
      </c>
      <c r="D19" s="1">
        <v>2.1196000576019292</v>
      </c>
      <c r="E19" s="1">
        <v>0.61419999599456787</v>
      </c>
      <c r="F19" s="1">
        <v>0.1075999960303307</v>
      </c>
      <c r="G19" s="1">
        <v>0.70586121082305908</v>
      </c>
      <c r="H19" s="1">
        <v>2.9418013095855708</v>
      </c>
      <c r="I19" s="1">
        <v>2.64409327507019</v>
      </c>
      <c r="J19" s="1">
        <v>1.6216520071029661</v>
      </c>
      <c r="K19" s="1">
        <v>2.6425526142120361</v>
      </c>
      <c r="L19" s="1">
        <v>1.6134146451950071</v>
      </c>
      <c r="M19" s="1">
        <f t="shared" si="3"/>
        <v>5.8301993680956531E-2</v>
      </c>
      <c r="N19" s="1">
        <f t="shared" si="0"/>
        <v>0.51055455164554842</v>
      </c>
      <c r="O19" s="1">
        <f t="shared" si="1"/>
        <v>1.5406608581538528E-3</v>
      </c>
      <c r="P19" s="1">
        <f t="shared" si="2"/>
        <v>8.2373619079589844E-3</v>
      </c>
    </row>
    <row r="20" spans="1:16" x14ac:dyDescent="0.3">
      <c r="A20" s="1">
        <v>4.4580998420715332</v>
      </c>
      <c r="B20" s="1">
        <v>1.41920006275177</v>
      </c>
      <c r="C20" s="1">
        <v>1.0386999845504761</v>
      </c>
      <c r="D20" s="1">
        <v>1.946899890899658</v>
      </c>
      <c r="E20" s="1">
        <v>1.045199990272522</v>
      </c>
      <c r="F20" s="1">
        <v>0.19449999928474429</v>
      </c>
      <c r="G20" s="1">
        <v>-1.89060914516449</v>
      </c>
      <c r="H20" s="1">
        <v>1.7091600894927981</v>
      </c>
      <c r="I20" s="1">
        <v>1.5115548372268679</v>
      </c>
      <c r="J20" s="1">
        <v>1.045337438583374</v>
      </c>
      <c r="K20" s="1">
        <v>1.51417064666748</v>
      </c>
      <c r="L20" s="1">
        <v>1.0457814931869509</v>
      </c>
      <c r="M20" s="1">
        <f t="shared" si="3"/>
        <v>0.17275526020592397</v>
      </c>
      <c r="N20" s="1">
        <f t="shared" si="0"/>
        <v>4.2461509069514583E-2</v>
      </c>
      <c r="O20" s="1">
        <f t="shared" si="1"/>
        <v>2.6158094406121268E-3</v>
      </c>
      <c r="P20" s="1">
        <f t="shared" si="2"/>
        <v>4.440546035768822E-4</v>
      </c>
    </row>
    <row r="21" spans="1:16" x14ac:dyDescent="0.3">
      <c r="A21" s="1">
        <v>4.7163000106811523</v>
      </c>
      <c r="B21" s="1">
        <v>1.519799947738647</v>
      </c>
      <c r="C21" s="1">
        <v>1.046299934387207</v>
      </c>
      <c r="D21" s="1">
        <v>1.8237999677658081</v>
      </c>
      <c r="E21" s="1">
        <v>1.180600047111511</v>
      </c>
      <c r="F21" s="1">
        <v>0.2254000008106232</v>
      </c>
      <c r="G21" s="1">
        <v>-0.39938592910766602</v>
      </c>
      <c r="H21" s="1">
        <v>-0.43418174982070917</v>
      </c>
      <c r="I21" s="1">
        <v>2.1250054836273189</v>
      </c>
      <c r="J21" s="1">
        <v>0.80908334255218506</v>
      </c>
      <c r="K21" s="1">
        <v>2.1209521293640141</v>
      </c>
      <c r="L21" s="1">
        <v>0.80734199285507202</v>
      </c>
      <c r="M21" s="1">
        <f t="shared" si="3"/>
        <v>0.19111012489094742</v>
      </c>
      <c r="N21" s="1">
        <f t="shared" si="0"/>
        <v>0.21568922619210656</v>
      </c>
      <c r="O21" s="1">
        <f t="shared" si="1"/>
        <v>4.0533542633047759E-3</v>
      </c>
      <c r="P21" s="1">
        <f t="shared" si="2"/>
        <v>1.7413496971130371E-3</v>
      </c>
    </row>
    <row r="22" spans="1:16" x14ac:dyDescent="0.3">
      <c r="A22" s="1">
        <v>5.6311001777648926</v>
      </c>
      <c r="B22" s="1">
        <v>2.708999872207642</v>
      </c>
      <c r="C22" s="1">
        <v>1.1469999551773069</v>
      </c>
      <c r="D22" s="1">
        <v>0.96979999542236328</v>
      </c>
      <c r="E22" s="1">
        <v>2.0083999633789058</v>
      </c>
      <c r="F22" s="1">
        <v>0.53689998388290405</v>
      </c>
      <c r="G22" s="1">
        <v>0.95417106151580811</v>
      </c>
      <c r="H22" s="1">
        <v>2.1056375503540039</v>
      </c>
      <c r="I22" s="1">
        <v>4.9270319938659668</v>
      </c>
      <c r="J22" s="1">
        <v>1.322903513908386</v>
      </c>
      <c r="K22" s="1">
        <v>4.9277119636535636</v>
      </c>
      <c r="L22" s="1">
        <v>1.310014128684998</v>
      </c>
      <c r="M22" s="1">
        <f t="shared" si="3"/>
        <v>1.3798894753024824E-2</v>
      </c>
      <c r="N22" s="1">
        <f t="shared" si="0"/>
        <v>0.98391192439477482</v>
      </c>
      <c r="O22" s="1">
        <f t="shared" si="1"/>
        <v>6.7996978759676807E-4</v>
      </c>
      <c r="P22" s="1">
        <f t="shared" si="2"/>
        <v>1.2889385223388006E-2</v>
      </c>
    </row>
    <row r="23" spans="1:16" x14ac:dyDescent="0.3">
      <c r="A23" s="1">
        <v>5.8831000328063956</v>
      </c>
      <c r="B23" s="1">
        <v>4.4128999710083008</v>
      </c>
      <c r="C23" s="1">
        <v>1.470799922943115</v>
      </c>
      <c r="D23" s="1">
        <v>0.45710000395774841</v>
      </c>
      <c r="E23" s="1">
        <v>1.9648000001907351</v>
      </c>
      <c r="F23" s="1">
        <v>1.1171000003814699</v>
      </c>
      <c r="G23" s="1">
        <v>-2.7152433395385742</v>
      </c>
      <c r="H23" s="1">
        <v>1.73277747631073</v>
      </c>
      <c r="I23" s="1">
        <v>4.371368408203125</v>
      </c>
      <c r="J23" s="1">
        <v>1.9152791500091551</v>
      </c>
      <c r="K23" s="1">
        <v>4.3698077201843262</v>
      </c>
      <c r="L23" s="1">
        <v>1.9153681993484499</v>
      </c>
      <c r="M23" s="1">
        <f t="shared" si="3"/>
        <v>3.5715256110467844E-2</v>
      </c>
      <c r="N23" s="1">
        <f t="shared" si="0"/>
        <v>4.6492021390544943E-3</v>
      </c>
      <c r="O23" s="1">
        <f t="shared" si="1"/>
        <v>1.5606880187988281E-3</v>
      </c>
      <c r="P23" s="1">
        <f t="shared" si="2"/>
        <v>8.9049339294877683E-5</v>
      </c>
    </row>
    <row r="24" spans="1:16" x14ac:dyDescent="0.3">
      <c r="A24" s="1">
        <v>5.9457998275756836</v>
      </c>
      <c r="B24" s="1">
        <v>5.2740998268127441</v>
      </c>
      <c r="C24" s="1">
        <v>2.0855998992919922</v>
      </c>
      <c r="D24" s="1">
        <v>0.25599998235702509</v>
      </c>
      <c r="E24" s="1">
        <v>1.4093999862670901</v>
      </c>
      <c r="F24" s="1">
        <v>1.703199982643127</v>
      </c>
      <c r="G24" s="1">
        <v>1.6689163446426389</v>
      </c>
      <c r="H24" s="1">
        <v>2.5973689556121831</v>
      </c>
      <c r="I24" s="1">
        <v>5.8840813636779794</v>
      </c>
      <c r="J24" s="1">
        <v>0.35454067587852478</v>
      </c>
      <c r="K24" s="1">
        <v>5.9103113128369387</v>
      </c>
      <c r="L24" s="1">
        <v>0.32781985885757298</v>
      </c>
      <c r="M24" s="1">
        <f t="shared" si="3"/>
        <v>0.4437997893950012</v>
      </c>
      <c r="N24" s="1">
        <f t="shared" si="0"/>
        <v>8.1510672093117833</v>
      </c>
      <c r="O24" s="1">
        <f t="shared" si="1"/>
        <v>2.6229949158959265E-2</v>
      </c>
      <c r="P24" s="1">
        <f t="shared" si="2"/>
        <v>2.6720817020951804E-2</v>
      </c>
    </row>
    <row r="25" spans="1:16" x14ac:dyDescent="0.3">
      <c r="A25" s="1">
        <v>5.9505000114440918</v>
      </c>
      <c r="B25" s="1">
        <v>5.3467998504638672</v>
      </c>
      <c r="C25" s="1">
        <v>2.1968998908996582</v>
      </c>
      <c r="D25" s="1">
        <v>0.2379000186920166</v>
      </c>
      <c r="E25" s="1">
        <v>1.3350000381469731</v>
      </c>
      <c r="F25" s="1">
        <v>1.7740000486373899</v>
      </c>
      <c r="G25" s="1">
        <v>-3.183650016784668</v>
      </c>
      <c r="H25" s="1">
        <v>-3.0196516513824458</v>
      </c>
      <c r="I25" s="1">
        <v>2.254137516021729</v>
      </c>
      <c r="J25" s="1">
        <v>1.782013416290283</v>
      </c>
      <c r="K25" s="1">
        <v>2.2548127174377441</v>
      </c>
      <c r="L25" s="1">
        <v>1.789469838142395</v>
      </c>
      <c r="M25" s="1">
        <f t="shared" si="3"/>
        <v>2.9944900114917121E-2</v>
      </c>
      <c r="N25" s="1">
        <f t="shared" si="0"/>
        <v>0.41668329318433034</v>
      </c>
      <c r="O25" s="1">
        <f t="shared" si="1"/>
        <v>6.7520141601518091E-4</v>
      </c>
      <c r="P25" s="1">
        <f t="shared" si="2"/>
        <v>7.4564218521120385E-3</v>
      </c>
    </row>
    <row r="26" spans="1:16" x14ac:dyDescent="0.3">
      <c r="A26" s="1">
        <v>5.9793000221252441</v>
      </c>
      <c r="B26" s="1">
        <v>5.7758998870849609</v>
      </c>
      <c r="C26" s="1">
        <v>3.663100004196167</v>
      </c>
      <c r="D26" s="1">
        <v>0.1136000156402588</v>
      </c>
      <c r="E26" s="1">
        <v>0.7117999792098999</v>
      </c>
      <c r="F26" s="1">
        <v>2.1298999786376949</v>
      </c>
      <c r="G26" s="1">
        <v>0.2284510135650635</v>
      </c>
      <c r="H26" s="1">
        <v>1.5836184024810791</v>
      </c>
      <c r="I26" s="1">
        <v>5.7607135772705078</v>
      </c>
      <c r="J26" s="1">
        <v>0.53283560276031494</v>
      </c>
      <c r="K26" s="1">
        <v>5.7566270241165514</v>
      </c>
      <c r="L26" s="1">
        <v>0.52908194239382689</v>
      </c>
      <c r="M26" s="1">
        <f t="shared" si="3"/>
        <v>7.0988673347021289E-2</v>
      </c>
      <c r="N26" s="1">
        <f t="shared" si="0"/>
        <v>0.70946673203486188</v>
      </c>
      <c r="O26" s="1">
        <f t="shared" si="1"/>
        <v>4.0865531539564515E-3</v>
      </c>
      <c r="P26" s="1">
        <f t="shared" si="2"/>
        <v>3.7536603664880541E-3</v>
      </c>
    </row>
    <row r="27" spans="1:16" x14ac:dyDescent="0.3">
      <c r="A27" s="1">
        <v>5.9916000366210938</v>
      </c>
      <c r="B27" s="1">
        <v>5.9258999824523926</v>
      </c>
      <c r="C27" s="1">
        <v>5.1138997077941886</v>
      </c>
      <c r="D27" s="1">
        <v>5.0100024789571762E-2</v>
      </c>
      <c r="E27" s="1">
        <v>0.32639995217323298</v>
      </c>
      <c r="F27" s="1">
        <v>1.553900003433228</v>
      </c>
      <c r="G27" s="1">
        <v>-3.066274881362915</v>
      </c>
      <c r="H27" s="1">
        <v>-2.152437686920166</v>
      </c>
      <c r="I27" s="1">
        <v>5.2566156387329102</v>
      </c>
      <c r="J27" s="1">
        <v>1.4134576320648189</v>
      </c>
      <c r="K27" s="1">
        <v>5.2233323684540123</v>
      </c>
      <c r="L27" s="1">
        <v>1.410624304605854</v>
      </c>
      <c r="M27" s="1">
        <f t="shared" si="3"/>
        <v>0.63720376057074402</v>
      </c>
      <c r="N27" s="1">
        <f t="shared" si="0"/>
        <v>0.20085627687781724</v>
      </c>
      <c r="O27" s="1">
        <f t="shared" si="1"/>
        <v>3.3283270278897881E-2</v>
      </c>
      <c r="P27" s="1">
        <f t="shared" si="2"/>
        <v>2.8333274589649182E-3</v>
      </c>
    </row>
    <row r="28" spans="1:16" x14ac:dyDescent="0.3">
      <c r="A28" s="1">
        <v>5.9994997978210449</v>
      </c>
      <c r="B28" s="1">
        <v>5.9969000816345206</v>
      </c>
      <c r="C28" s="1">
        <v>5.9794001579284668</v>
      </c>
      <c r="D28" s="1">
        <v>2.899942453950644E-3</v>
      </c>
      <c r="E28" s="1">
        <v>1.899996958673E-2</v>
      </c>
      <c r="F28" s="1">
        <v>0.1134000048041344</v>
      </c>
      <c r="G28" s="1">
        <v>-3.0806970596313481</v>
      </c>
      <c r="H28" s="1">
        <v>2.3825287818908691</v>
      </c>
      <c r="I28" s="1">
        <v>5.9937019348144531</v>
      </c>
      <c r="J28" s="1">
        <v>2.3747952654957771E-2</v>
      </c>
      <c r="K28" s="1">
        <v>5.9948143816074726</v>
      </c>
      <c r="L28" s="1">
        <v>2.109623570525939E-2</v>
      </c>
      <c r="M28" s="1">
        <f t="shared" si="3"/>
        <v>1.855681797976165E-2</v>
      </c>
      <c r="N28" s="1">
        <f t="shared" si="0"/>
        <v>12.569621361583932</v>
      </c>
      <c r="O28" s="1">
        <f>ABS(I28-K28)</f>
        <v>1.1124467930194726E-3</v>
      </c>
      <c r="P28" s="1">
        <f t="shared" si="2"/>
        <v>2.6517169496983808E-3</v>
      </c>
    </row>
    <row r="29" spans="1:16" x14ac:dyDescent="0.3">
      <c r="A29" s="1">
        <v>1.204300165176392</v>
      </c>
      <c r="B29" s="1">
        <v>1.0191999673843379</v>
      </c>
      <c r="C29" s="1">
        <v>1.0028998851776121</v>
      </c>
      <c r="D29" s="1">
        <v>0.67019999027252197</v>
      </c>
      <c r="E29" s="1">
        <v>0.1063999906182289</v>
      </c>
      <c r="F29" s="1">
        <v>1.7799995839595791E-2</v>
      </c>
      <c r="G29" s="1">
        <v>2.570198535919189</v>
      </c>
      <c r="H29" s="1">
        <v>2.4010665416717529</v>
      </c>
      <c r="I29" s="1">
        <v>1.16758668422699</v>
      </c>
      <c r="J29" s="1">
        <v>0.660064697265625</v>
      </c>
      <c r="K29" s="1">
        <v>1.167011022567749</v>
      </c>
      <c r="L29" s="1">
        <v>0.65929490327835083</v>
      </c>
      <c r="M29" s="1">
        <f t="shared" si="3"/>
        <v>4.9327868212789353E-2</v>
      </c>
      <c r="N29" s="1">
        <f t="shared" si="0"/>
        <v>0.11676019084120948</v>
      </c>
      <c r="O29" s="1">
        <f t="shared" si="1"/>
        <v>5.756616592409447E-4</v>
      </c>
      <c r="P29" s="1">
        <f t="shared" si="2"/>
        <v>7.6979398727416992E-4</v>
      </c>
    </row>
    <row r="30" spans="1:16" x14ac:dyDescent="0.3">
      <c r="A30" s="1">
        <v>4.9320998191833496</v>
      </c>
      <c r="B30" s="1">
        <v>1.636700034141541</v>
      </c>
      <c r="C30" s="1">
        <v>1.0550999641418459</v>
      </c>
      <c r="D30" s="1">
        <v>1.691100001335144</v>
      </c>
      <c r="E30" s="1">
        <v>1.3172000646591191</v>
      </c>
      <c r="F30" s="1">
        <v>0.2591000497341156</v>
      </c>
      <c r="G30" s="1">
        <v>-2.096061229705811</v>
      </c>
      <c r="H30" s="1">
        <v>-0.33505016565322882</v>
      </c>
      <c r="I30" s="1">
        <v>1.450183510780334</v>
      </c>
      <c r="J30" s="1">
        <v>0.75642412900924683</v>
      </c>
      <c r="K30" s="1">
        <v>1.4449620246887209</v>
      </c>
      <c r="L30" s="1">
        <v>0.75689947605133057</v>
      </c>
      <c r="M30" s="1">
        <f t="shared" si="3"/>
        <v>0.36135801511724402</v>
      </c>
      <c r="N30" s="1">
        <f t="shared" si="0"/>
        <v>6.2801872259653099E-2</v>
      </c>
      <c r="O30" s="1">
        <f t="shared" si="1"/>
        <v>5.2214860916131034E-3</v>
      </c>
      <c r="P30" s="1">
        <f t="shared" si="2"/>
        <v>4.7534704208374023E-4</v>
      </c>
    </row>
    <row r="31" spans="1:16" x14ac:dyDescent="0.3">
      <c r="A31" s="1">
        <v>5.7133002281188956</v>
      </c>
      <c r="B31" s="1">
        <v>3.0643000602722168</v>
      </c>
      <c r="C31" s="1">
        <v>1.187299966812134</v>
      </c>
      <c r="D31" s="1">
        <v>0.83219999074935913</v>
      </c>
      <c r="E31" s="1">
        <v>2.0973999500274658</v>
      </c>
      <c r="F31" s="1">
        <v>0.63270002603530884</v>
      </c>
      <c r="G31" s="1">
        <v>-1.726998448371887</v>
      </c>
      <c r="H31" s="1">
        <v>-1.6593449115753169</v>
      </c>
      <c r="I31" s="1">
        <v>1.5946775674819951</v>
      </c>
      <c r="J31" s="1">
        <v>0.79340821504592896</v>
      </c>
      <c r="K31" s="1">
        <v>1.5903550744045001</v>
      </c>
      <c r="L31" s="1">
        <v>0.7909283725245928</v>
      </c>
      <c r="M31" s="1">
        <f t="shared" si="3"/>
        <v>0.2717942142017265</v>
      </c>
      <c r="N31" s="1">
        <f t="shared" si="0"/>
        <v>0.31353566359247576</v>
      </c>
      <c r="O31" s="1">
        <f t="shared" si="1"/>
        <v>4.3224930774949932E-3</v>
      </c>
      <c r="P31" s="1">
        <f t="shared" si="2"/>
        <v>2.4798425213361508E-3</v>
      </c>
    </row>
    <row r="32" spans="1:16" x14ac:dyDescent="0.3">
      <c r="A32" s="1">
        <v>5.9375</v>
      </c>
      <c r="B32" s="1">
        <v>5.148900032043457</v>
      </c>
      <c r="C32" s="1">
        <v>1.931399941444397</v>
      </c>
      <c r="D32" s="1">
        <v>0.28630000352859503</v>
      </c>
      <c r="E32" s="1">
        <v>1.524399995803833</v>
      </c>
      <c r="F32" s="1">
        <v>1.5906000137329099</v>
      </c>
      <c r="G32" s="1">
        <v>-2.1951889991760249</v>
      </c>
      <c r="H32" s="1">
        <v>2.164985179901123</v>
      </c>
      <c r="I32" s="1">
        <v>5.1476302146911621</v>
      </c>
      <c r="J32" s="1">
        <v>1.5135989189147949</v>
      </c>
      <c r="K32" s="1">
        <v>5.1537976264953613</v>
      </c>
      <c r="L32" s="1">
        <v>1.518702387809753</v>
      </c>
      <c r="M32" s="1">
        <f t="shared" si="3"/>
        <v>0.11966732594413348</v>
      </c>
      <c r="N32" s="1">
        <f t="shared" si="0"/>
        <v>0.33604140850256969</v>
      </c>
      <c r="O32" s="1">
        <f t="shared" si="1"/>
        <v>6.1674118041992188E-3</v>
      </c>
      <c r="P32" s="1">
        <f t="shared" si="2"/>
        <v>5.103468894958052E-3</v>
      </c>
    </row>
    <row r="33" spans="1:16" x14ac:dyDescent="0.3">
      <c r="A33" s="1">
        <v>5.9858999252319336</v>
      </c>
      <c r="B33" s="1">
        <v>5.8615002632141113</v>
      </c>
      <c r="C33" s="1">
        <v>4.3741002082824707</v>
      </c>
      <c r="D33" s="1">
        <v>8.0399990081787109E-2</v>
      </c>
      <c r="E33" s="1">
        <v>0.51520001888275146</v>
      </c>
      <c r="F33" s="1">
        <v>1.9795000553131099</v>
      </c>
      <c r="G33" s="1">
        <v>-2.850272655487061</v>
      </c>
      <c r="H33" s="1">
        <v>7.052505761384964E-2</v>
      </c>
      <c r="I33" s="1">
        <v>5.3458056449890137</v>
      </c>
      <c r="J33" s="1">
        <v>1.069227457046509</v>
      </c>
      <c r="K33" s="1">
        <v>5.353022120995834</v>
      </c>
      <c r="L33" s="1">
        <v>1.0762760578521919</v>
      </c>
      <c r="M33" s="1">
        <f t="shared" si="3"/>
        <v>0.13481124949055501</v>
      </c>
      <c r="N33" s="1">
        <f t="shared" si="0"/>
        <v>0.65490640196429328</v>
      </c>
      <c r="O33" s="1">
        <f t="shared" si="1"/>
        <v>7.2164760068202938E-3</v>
      </c>
      <c r="P33" s="1">
        <f t="shared" si="2"/>
        <v>7.0486008056829252E-3</v>
      </c>
    </row>
    <row r="34" spans="1:16" x14ac:dyDescent="0.3">
      <c r="A34" s="1">
        <v>5.9995999336242676</v>
      </c>
      <c r="B34" s="1">
        <v>5.9972000122070313</v>
      </c>
      <c r="C34" s="1">
        <v>5.981299877166748</v>
      </c>
      <c r="D34" s="1">
        <v>2.6000118814408779E-3</v>
      </c>
      <c r="E34" s="1">
        <v>1.7400002107024189E-2</v>
      </c>
      <c r="F34" s="1">
        <v>0.1039999946951866</v>
      </c>
      <c r="G34" s="1">
        <v>-3.1608777046203609</v>
      </c>
      <c r="H34" s="1">
        <v>2.4177343845367432</v>
      </c>
      <c r="I34" s="1">
        <v>5.9962887763977051</v>
      </c>
      <c r="J34" s="1">
        <v>2.3355456069111821E-2</v>
      </c>
      <c r="K34" s="1">
        <v>5.9941831271219836</v>
      </c>
      <c r="L34" s="1">
        <v>2.4540976766960831E-2</v>
      </c>
      <c r="M34" s="1">
        <f t="shared" si="3"/>
        <v>3.5128210651322371E-2</v>
      </c>
      <c r="N34" s="1">
        <f>ABS(J34-L34)/L34*100</f>
        <v>4.8307804090547029</v>
      </c>
      <c r="O34" s="1">
        <f t="shared" si="1"/>
        <v>2.1056492757214329E-3</v>
      </c>
      <c r="P34" s="1">
        <f t="shared" si="2"/>
        <v>1.1855206978490102E-3</v>
      </c>
    </row>
    <row r="35" spans="1:16" x14ac:dyDescent="0.3">
      <c r="A35">
        <v>1.0453999039999999</v>
      </c>
      <c r="B35">
        <v>1.0056000949999999</v>
      </c>
      <c r="C35">
        <v>1.0009000299999999</v>
      </c>
      <c r="D35">
        <v>0.22189998599999999</v>
      </c>
      <c r="E35">
        <v>3.3799983999999998E-2</v>
      </c>
      <c r="F35">
        <v>5.5999980000000001E-3</v>
      </c>
      <c r="G35">
        <v>0.51258480500000003</v>
      </c>
      <c r="H35">
        <v>1.3020461800000001</v>
      </c>
      <c r="I35">
        <v>1.0407024620000001</v>
      </c>
      <c r="J35">
        <v>0.17155042300000001</v>
      </c>
      <c r="K35">
        <v>1.0385325540000001</v>
      </c>
      <c r="L35">
        <v>0.17760746199999999</v>
      </c>
      <c r="M35" s="1">
        <f t="shared" si="3"/>
        <v>0.20893981528478331</v>
      </c>
      <c r="N35" s="1">
        <f>ABS(J35-L35)/L35*100</f>
        <v>3.410351643896576</v>
      </c>
      <c r="O35" s="1">
        <f t="shared" si="1"/>
        <v>2.1699079999999427E-3</v>
      </c>
      <c r="P35" s="1">
        <f t="shared" si="2"/>
        <v>6.0570389999999863E-3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Qiu</dc:creator>
  <cp:lastModifiedBy>Cheng Qiu</cp:lastModifiedBy>
  <dcterms:created xsi:type="dcterms:W3CDTF">2015-06-05T18:19:34Z</dcterms:created>
  <dcterms:modified xsi:type="dcterms:W3CDTF">2025-12-01T06:20:24Z</dcterms:modified>
</cp:coreProperties>
</file>